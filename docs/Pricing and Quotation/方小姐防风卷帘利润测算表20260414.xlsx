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利润测算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<sst xmlns="http://schemas.openxmlformats.org/spreadsheetml/2006/main" count="5" uniqueCount="5">
  <si>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</si>
  <si>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>、防风卷帘本体市场询价单价按照以下计算：</t>
    </r>
    <r>
      <rPr>
        <sz val="9.75"/>
        <color rgb="FF000000"/>
        <rFont val="Calibri"/>
        <family val="2"/>
      </rPr>
      <t xml:space="preserve"> </t>
    </r>
    <r>
      <rPr>
        <sz val="9.75"/>
        <color rgb="FF000000"/>
        <rFont val="Calibri"/>
        <family val="2"/>
      </rPr>
      <t>防风卷帘本体总成本单价</t>
    </r>
    <r>
      <rPr>
        <sz val="9.75"/>
        <color rgb="FF000000"/>
        <rFont val="Calibri"/>
        <family val="2"/>
      </rPr>
      <t>*2.92</t>
    </r>
    <r>
      <rPr>
        <sz val="9.75"/>
        <color rgb="FF000000"/>
        <rFont val="Calibri"/>
        <family val="2"/>
      </rPr>
      <t>；其他零配件、电机等在供应商产品报价（含税价）基础上加</t>
    </r>
    <r>
      <rPr>
        <sz val="9.75"/>
        <color rgb="FF000000"/>
        <rFont val="Calibri"/>
        <family val="2"/>
      </rPr>
      <t>13%</t>
    </r>
    <r>
      <rPr>
        <sz val="9.75"/>
        <color rgb="FF000000"/>
        <rFont val="Calibri"/>
        <family val="2"/>
      </rPr>
      <t>（因为这个价格供应商对其他客户是不含税价）；</t>
    </r>
  </si>
  <si>
    <t/>
    <r>
      <rPr>
        <sz val="9.75"/>
        <color rgb="FF000000"/>
        <rFont val="Calibri"/>
        <family val="2"/>
      </rPr>
      <t>4</t>
    </r>
    <r>
      <rPr>
        <sz val="9.75"/>
        <color rgb="FF000000"/>
        <rFont val="Calibri"/>
        <family val="2"/>
      </rPr>
      <t>、优惠折扣率：防风卷帘本体按</t>
    </r>
    <r>
      <rPr>
        <sz val="9.75"/>
        <color rgb="FF000000"/>
        <rFont val="Calibri"/>
        <family val="2"/>
      </rPr>
      <t>50%</t>
    </r>
    <r>
      <rPr>
        <sz val="9.75"/>
        <color rgb="FF000000"/>
        <rFont val="Calibri"/>
        <family val="2"/>
      </rPr>
      <t>折；其他零配件、电机等不打折。</t>
    </r>
  </si>
  <si>
    <t/>
    <r>
      <rPr>
        <sz val="9.75"/>
        <color rgb="FF000000"/>
        <rFont val="Calibri"/>
        <family val="2"/>
      </rPr>
      <t>2</t>
    </r>
    <r>
      <rPr>
        <sz val="9.75"/>
        <color rgb="FF000000"/>
        <rFont val="Calibri"/>
        <family val="2"/>
      </rPr>
      <t>、防风卷帘本体总成本单价按照以下计算：供应商卷帘本体含税单价</t>
    </r>
    <r>
      <rPr>
        <sz val="9.75"/>
        <color rgb="FF000000"/>
        <rFont val="Calibri"/>
        <family val="2"/>
      </rPr>
      <t>+</t>
    </r>
    <r>
      <rPr>
        <sz val="9.75"/>
        <color rgb="FF000000"/>
        <rFont val="Calibri"/>
        <family val="2"/>
      </rPr>
      <t>运费清关单价（按供应商卷帘本体含税单价的</t>
    </r>
    <r>
      <rPr>
        <sz val="9.75"/>
        <color rgb="FF000000"/>
        <rFont val="Calibri"/>
        <family val="2"/>
      </rPr>
      <t>30%</t>
    </r>
    <r>
      <rPr>
        <sz val="9.75"/>
        <color rgb="FF000000"/>
        <rFont val="Calibri"/>
        <family val="2"/>
      </rPr>
      <t>计）</t>
    </r>
    <r>
      <rPr>
        <sz val="9.75"/>
        <color rgb="FF000000"/>
        <rFont val="Calibri"/>
        <family val="2"/>
      </rPr>
      <t>+</t>
    </r>
    <r>
      <rPr>
        <sz val="9.75"/>
        <color rgb="FF000000"/>
        <rFont val="Calibri"/>
        <family val="2"/>
      </rPr>
      <t>安装费单价（</t>
    </r>
    <r>
      <rPr>
        <sz val="9.75"/>
        <color rgb="FF000000"/>
        <rFont val="Calibri"/>
        <family val="2"/>
      </rPr>
      <t>191</t>
    </r>
    <r>
      <rPr>
        <sz val="9.75"/>
        <color rgb="FF000000"/>
        <rFont val="Calibri"/>
        <family val="2"/>
      </rPr>
      <t>元</t>
    </r>
    <r>
      <rPr>
        <sz val="9.75"/>
        <color rgb="FF000000"/>
        <rFont val="Calibri"/>
        <family val="2"/>
      </rPr>
      <t>/m2</t>
    </r>
    <r>
      <rPr>
        <sz val="9.75"/>
        <color rgb="FF000000"/>
        <rFont val="Calibri"/>
        <family val="2"/>
      </rPr>
      <t>）；</t>
    </r>
  </si>
  <si>
    <t/>
    <r>
      <rPr>
        <sz val="9.75"/>
        <color rgb="FF000000"/>
        <rFont val="Calibri"/>
        <family val="2"/>
      </rPr>
      <t>1</t>
    </r>
    <r>
      <rPr>
        <sz val="9.75"/>
        <color rgb="FF000000"/>
        <rFont val="Calibri"/>
        <family val="2"/>
      </rPr>
      <t>、将《供应商报价单》与《利润测算表》合并为一个文件《利润测算表》；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</si>
</sst>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_ "/>
    <numFmt numFmtId="165" formatCode="0.00_ "/>
    <numFmt numFmtId="166" formatCode="0.00"/>
    <numFmt numFmtId="167" formatCode="0.00_ "/>
    <numFmt numFmtId="168" formatCode="0%"/>
    <numFmt numFmtId="169" formatCode="0%"/>
  </numFmts>
  <fonts count="9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true" applyProtection="false" borderId="4" fillId="0" fontId="1" numFmtId="165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false" applyFont="true" applyNumberFormat="true" applyProtection="false" borderId="9" fillId="0" fontId="1" numFmtId="166" xfId="0">
      <alignment vertical="center"/>
    </xf>
    <xf applyAlignment="true" applyBorder="false" applyFill="false" applyFont="true" applyNumberFormat="false" applyProtection="false" borderId="10" fillId="0" fontId="4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horizontal="left"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6" numFmtId="0" xfId="0">
      <alignment horizontal="center" vertical="center" wrapText="true"/>
    </xf>
    <xf applyAlignment="true" applyBorder="false" applyFill="false" applyFont="true" applyNumberFormat="false" applyProtection="false" borderId="16" fillId="0" fontId="6" numFmtId="0" xfId="0">
      <alignment horizontal="center" vertical="center"/>
    </xf>
    <xf applyAlignment="true" applyBorder="false" applyFill="false" applyFont="true" applyNumberFormat="true" applyProtection="false" borderId="17" fillId="0" fontId="6" numFmtId="167" xfId="0">
      <alignment horizontal="center" vertical="center" wrapText="true"/>
    </xf>
    <xf applyAlignment="true" applyBorder="false" applyFill="false" applyFont="true" applyNumberFormat="false" applyProtection="false" borderId="18" fillId="0" fontId="7" numFmtId="0" xfId="0">
      <alignment horizontal="center" vertical="center" wrapText="true"/>
    </xf>
    <xf applyAlignment="true" applyBorder="false" applyFill="false" applyFont="true" applyNumberFormat="true" applyProtection="false" borderId="19" fillId="0" fontId="6" numFmtId="168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left" vertical="center"/>
    </xf>
    <xf applyAlignment="true" applyBorder="false" applyFill="false" applyFont="true" applyNumberFormat="false" applyProtection="false" borderId="21" fillId="0" fontId="6" numFmtId="0" xfId="0">
      <alignment vertical="center"/>
    </xf>
    <xf applyAlignment="true" applyBorder="false" applyFill="false" applyFont="true" applyNumberFormat="false" applyProtection="false" borderId="22" fillId="0" fontId="6" numFmtId="0" xfId="0">
      <alignment vertical="center"/>
    </xf>
    <xf applyAlignment="true" applyBorder="false" applyFill="false" applyFont="true" applyNumberFormat="true" applyProtection="false" borderId="23" fillId="0" fontId="6" numFmtId="169" xfId="0">
      <alignment vertical="center"/>
    </xf>
    <xf applyAlignment="true" applyBorder="false" applyFill="false" applyFont="true" applyNumberFormat="false" applyProtection="false" borderId="24" fillId="0" fontId="8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1" min="1" style="0" width="7"/>
    <col collapsed="false" customWidth="true" hidden="false" max="2" min="2" style="0" width="21"/>
    <col collapsed="false" customWidth="true" hidden="false" max="2" min="2" style="0" width="21"/>
    <col collapsed="false" customWidth="true" hidden="false" max="3" min="3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2" min="12" style="0" width="10"/>
    <col collapsed="false" customWidth="true" hidden="false" max="13" min="13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4" min="14" style="0" width="11"/>
    <col collapsed="false" customWidth="true" hidden="false" max="15" min="15" style="0" width="12"/>
    <col collapsed="false" customWidth="true" hidden="false" max="15" min="15" style="0" width="12"/>
    <col collapsed="false" customWidth="true" hidden="false" max="16" min="16" style="0" width="16"/>
    <col collapsed="false" customWidth="true" hidden="false" max="16" min="16" style="0" width="16"/>
    <col collapsed="false" customWidth="true" hidden="false" max="17" min="17" style="0" width="14"/>
    <col collapsed="false" customWidth="true" hidden="false" max="17" min="17" style="0" width="14"/>
    <col collapsed="false" customWidth="true" hidden="false" max="18" min="18" style="0" width="15"/>
    <col collapsed="false" customWidth="true" hidden="false" max="18" min="18" style="0" width="15"/>
    <col collapsed="false" customWidth="true" hidden="false" max="19" min="19" style="0" width="17"/>
    <col collapsed="false" customWidth="true" hidden="false" max="19" min="19" style="0" width="17"/>
    <col collapsed="false" customWidth="true" hidden="false" max="20" min="20" style="0" width="11"/>
    <col collapsed="false" customWidth="true" hidden="false" max="20" min="20" style="0" width="11"/>
    <col collapsed="false" customWidth="true" hidden="false" max="21" min="21" style="0" width="11"/>
    <col collapsed="false" customWidth="true" hidden="false" max="21" min="21" style="0" width="11"/>
    <col collapsed="false" customWidth="true" hidden="false" max="22" min="22" style="0" width="11"/>
    <col collapsed="false" customWidth="true" hidden="false" max="22" min="22" style="0" width="11"/>
  </cols>
  <sheetData>
    <row customHeight="true" ht="28" r="1">
      <c r="A1" s="16" t="str">
        <v>序号</v>
      </c>
      <c r="B1" s="16" t="str">
        <v>供应商产品报价（含税）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8" t="str">
        <v>运费、清关（元）</v>
      </c>
      <c r="N1" s="18" t="str">
        <v>安装费（元）</v>
      </c>
      <c r="O1" s="18" t="str">
        <v>总成本价格（元）</v>
      </c>
      <c r="P1" s="16" t="str">
        <v>市场询价</v>
      </c>
      <c r="Q1" s="16" t="str">
        <v>折扣率</v>
      </c>
      <c r="R1" s="17" t="str">
        <v>优惠单价</v>
      </c>
      <c r="S1" s="17" t="str">
        <v>优惠总价（元）</v>
      </c>
      <c r="T1" s="17" t="str">
        <v>毛利润（元）</v>
      </c>
      <c r="U1" s="17" t="str">
        <v>毛利率</v>
      </c>
      <c r="V1" s="16" t="str">
        <v>备注</v>
      </c>
    </row>
    <row customHeight="true" ht="28" r="2">
      <c r="A2" s="16"/>
      <c r="B2" s="16" t="str">
        <v>产品名称</v>
      </c>
      <c r="C2" s="15" t="str">
        <v>型材
颜色</v>
      </c>
      <c r="D2" s="15" t="str">
        <v>规格</v>
      </c>
      <c r="E2" s="15"/>
      <c r="F2" s="17" t="str">
        <v>计算
平方数</v>
      </c>
      <c r="G2" s="15" t="str">
        <v>计价
平方数</v>
      </c>
      <c r="H2" s="15" t="str">
        <v>数量套</v>
      </c>
      <c r="I2" s="15" t="str">
        <v>单价</v>
      </c>
      <c r="J2" s="16" t="str">
        <v>总价</v>
      </c>
      <c r="K2" s="16" t="str">
        <v>折后单价</v>
      </c>
      <c r="L2" s="16" t="str">
        <v>折后总价</v>
      </c>
      <c r="M2" s="18"/>
      <c r="N2" s="18"/>
      <c r="O2" s="18"/>
      <c r="P2" s="16" t="str">
        <v>单价</v>
      </c>
      <c r="Q2" s="19">
        <v>0.5</v>
      </c>
      <c r="R2" s="17"/>
      <c r="S2" s="17"/>
      <c r="T2" s="17"/>
      <c r="U2" s="17"/>
      <c r="V2" s="16"/>
    </row>
    <row customHeight="true" ht="35" r="3">
      <c r="A3" s="16"/>
      <c r="B3" s="16"/>
      <c r="C3" s="15"/>
      <c r="D3" s="15" t="str">
        <v>宽
mm</v>
      </c>
      <c r="E3" s="15" t="str">
        <v>高
mm</v>
      </c>
      <c r="F3" s="17"/>
      <c r="G3" s="15"/>
      <c r="H3" s="15"/>
      <c r="I3" s="15"/>
      <c r="J3" s="16"/>
      <c r="K3" s="16"/>
      <c r="L3" s="16"/>
      <c r="M3" s="18"/>
      <c r="N3" s="18"/>
      <c r="O3" s="18"/>
      <c r="P3" s="16"/>
      <c r="Q3" s="19"/>
      <c r="R3" s="17"/>
      <c r="S3" s="17"/>
      <c r="T3" s="17"/>
      <c r="U3" s="17"/>
      <c r="V3" s="16"/>
    </row>
    <row customHeight="true" ht="36" r="4">
      <c r="A4" s="3">
        <v>1</v>
      </c>
      <c r="B4" s="7" t="str">
        <v>WR100A-63电动防风卷帘</v>
      </c>
      <c r="C4" s="1" t="str">
        <v>铁灰色</v>
      </c>
      <c r="D4" s="14">
        <v>950</v>
      </c>
      <c r="E4" s="14">
        <v>2700</v>
      </c>
      <c r="F4" s="2">
        <f>D4*E4/1000000</f>
      </c>
      <c r="G4" s="3">
        <v>3</v>
      </c>
      <c r="H4" s="3">
        <v>1</v>
      </c>
      <c r="I4" s="14">
        <v>290</v>
      </c>
      <c r="J4" s="3">
        <f>I4*G4</f>
      </c>
      <c r="K4" s="3">
        <f>I4*0.9</f>
      </c>
      <c r="L4" s="3">
        <f>G4*K4</f>
      </c>
      <c r="M4" s="9">
        <f>M10/(G4+G5+G6+G7+G8)</f>
      </c>
      <c r="N4" s="9">
        <v>191</v>
      </c>
      <c r="O4" s="4">
        <f>K4+M4+N4</f>
      </c>
      <c r="P4" s="5">
        <f>O4*2.92</f>
      </c>
      <c r="Q4" s="5"/>
      <c r="R4" s="5">
        <f>P4*$Q$2</f>
      </c>
      <c r="S4" s="5">
        <f>G4*R4</f>
      </c>
      <c r="T4" s="5"/>
      <c r="U4" s="5"/>
      <c r="V4" s="1"/>
    </row>
    <row customHeight="true" ht="36" r="5">
      <c r="A5" s="3">
        <v>2</v>
      </c>
      <c r="B5" s="7" t="str">
        <v>WR100A-63电动防风卷帘</v>
      </c>
      <c r="C5" s="1" t="str">
        <v>铁灰色</v>
      </c>
      <c r="D5" s="13">
        <v>2350</v>
      </c>
      <c r="E5" s="13">
        <v>2700</v>
      </c>
      <c r="F5" s="2">
        <f>D5*E5/1000000</f>
      </c>
      <c r="G5" s="3">
        <v>6.35</v>
      </c>
      <c r="H5" s="3">
        <v>1</v>
      </c>
      <c r="I5" s="13">
        <v>270</v>
      </c>
      <c r="J5" s="3">
        <f>I5*G5</f>
      </c>
      <c r="K5" s="3">
        <f>I5*0.9</f>
      </c>
      <c r="L5" s="3">
        <f>G5*K5</f>
      </c>
      <c r="M5" s="9">
        <f>M4</f>
      </c>
      <c r="N5" s="9">
        <v>191</v>
      </c>
      <c r="O5" s="4">
        <f>K5+M5+N5</f>
      </c>
      <c r="P5" s="5">
        <f>O5*2.92</f>
      </c>
      <c r="Q5" s="5"/>
      <c r="R5" s="5">
        <f>P5*$Q$2</f>
      </c>
      <c r="S5" s="5">
        <f>G5*R5</f>
      </c>
      <c r="T5" s="5"/>
      <c r="U5" s="5"/>
      <c r="V5" s="1"/>
    </row>
    <row customHeight="true" ht="36" r="6">
      <c r="A6" s="3">
        <v>3</v>
      </c>
      <c r="B6" s="7" t="str">
        <v>WR100A-63电动防风卷帘</v>
      </c>
      <c r="C6" s="1" t="str">
        <v>铁灰色</v>
      </c>
      <c r="D6" s="10">
        <v>3200</v>
      </c>
      <c r="E6" s="8">
        <v>2700</v>
      </c>
      <c r="F6" s="2">
        <f>D6*E6/1000000</f>
      </c>
      <c r="G6" s="3">
        <v>8.64</v>
      </c>
      <c r="H6" s="3">
        <v>1</v>
      </c>
      <c r="I6" s="8">
        <v>250</v>
      </c>
      <c r="J6" s="3">
        <f>I6*G6</f>
      </c>
      <c r="K6" s="3">
        <f>I6*0.9</f>
      </c>
      <c r="L6" s="3">
        <f>G6*K6</f>
      </c>
      <c r="M6" s="9">
        <f>M5</f>
      </c>
      <c r="N6" s="9">
        <v>191</v>
      </c>
      <c r="O6" s="4">
        <f>K6+M6+N6</f>
      </c>
      <c r="P6" s="5">
        <f>O6*2.92</f>
      </c>
      <c r="Q6" s="5"/>
      <c r="R6" s="5">
        <f>P6*$Q$2</f>
      </c>
      <c r="S6" s="5">
        <f>G6*R6</f>
      </c>
      <c r="T6" s="5"/>
      <c r="U6" s="5"/>
      <c r="V6" s="1"/>
    </row>
    <row customHeight="true" ht="28" r="7">
      <c r="A7" s="3">
        <v>4</v>
      </c>
      <c r="B7" s="7" t="str">
        <v>WR100A-63电动防风卷帘</v>
      </c>
      <c r="C7" s="1" t="str">
        <v>铁灰色</v>
      </c>
      <c r="D7" s="10">
        <v>3300</v>
      </c>
      <c r="E7" s="8">
        <v>1700</v>
      </c>
      <c r="F7" s="2">
        <f>D7*E7/1000000</f>
      </c>
      <c r="G7" s="3">
        <v>5.61</v>
      </c>
      <c r="H7" s="3">
        <v>1</v>
      </c>
      <c r="I7" s="8">
        <v>270</v>
      </c>
      <c r="J7" s="3">
        <f>I7*G7</f>
      </c>
      <c r="K7" s="3">
        <f>I7*0.9</f>
      </c>
      <c r="L7" s="3">
        <f>G7*K7</f>
      </c>
      <c r="M7" s="9">
        <f>M6</f>
      </c>
      <c r="N7" s="9">
        <v>191</v>
      </c>
      <c r="O7" s="4">
        <f>K7+M7+N7</f>
      </c>
      <c r="P7" s="5">
        <f>O7*2.92</f>
      </c>
      <c r="Q7" s="5"/>
      <c r="R7" s="5">
        <f>P7*$Q$2</f>
      </c>
      <c r="S7" s="5">
        <f>G7*R7</f>
      </c>
      <c r="T7" s="5"/>
      <c r="U7" s="5"/>
      <c r="V7" s="6"/>
    </row>
    <row customHeight="true" ht="28" r="8">
      <c r="A8" s="3">
        <v>5</v>
      </c>
      <c r="B8" s="7" t="str">
        <v>WR100A-63电动防风卷帘</v>
      </c>
      <c r="C8" s="1" t="str">
        <v>铁灰色</v>
      </c>
      <c r="D8" s="10">
        <v>2100</v>
      </c>
      <c r="E8" s="8">
        <v>1700</v>
      </c>
      <c r="F8" s="2">
        <f>D8*E8/1000000</f>
      </c>
      <c r="G8" s="5">
        <v>3.57</v>
      </c>
      <c r="H8" s="3">
        <v>1</v>
      </c>
      <c r="I8" s="8">
        <v>270</v>
      </c>
      <c r="J8" s="3">
        <f>I8*G8</f>
      </c>
      <c r="K8" s="3">
        <f>I8*0.9</f>
      </c>
      <c r="L8" s="3">
        <f>G8*K8</f>
      </c>
      <c r="M8" s="9">
        <f>M7</f>
      </c>
      <c r="N8" s="9">
        <v>191</v>
      </c>
      <c r="O8" s="4">
        <f>K8+M8+N8</f>
      </c>
      <c r="P8" s="5">
        <f>O8*2.92</f>
      </c>
      <c r="Q8" s="5"/>
      <c r="R8" s="5">
        <f>P8*$Q$2</f>
      </c>
      <c r="S8" s="5">
        <f>G8*R8</f>
      </c>
      <c r="T8" s="5"/>
      <c r="U8" s="5"/>
      <c r="V8" s="6"/>
    </row>
    <row customHeight="true" ht="28" r="9">
      <c r="A9" s="3">
        <v>6</v>
      </c>
      <c r="B9" s="24" t="str">
        <v>奥科电机45</v>
      </c>
      <c r="C9" s="1"/>
      <c r="D9" s="3"/>
      <c r="E9" s="3"/>
      <c r="F9" s="2"/>
      <c r="G9" s="3"/>
      <c r="H9" s="3">
        <v>5</v>
      </c>
      <c r="I9" s="3">
        <v>390</v>
      </c>
      <c r="J9" s="3">
        <v>1950</v>
      </c>
      <c r="K9" s="3"/>
      <c r="L9" s="3">
        <f>H9*I9</f>
      </c>
      <c r="M9" s="5"/>
      <c r="N9" s="5"/>
      <c r="O9" s="5"/>
      <c r="P9" s="5">
        <f>I9*1.13</f>
      </c>
      <c r="Q9" s="5"/>
      <c r="R9" s="5">
        <f>P9</f>
      </c>
      <c r="S9" s="5">
        <f>H9*R9</f>
      </c>
      <c r="T9" s="5"/>
      <c r="U9" s="5"/>
      <c r="V9" s="1"/>
    </row>
    <row customHeight="true" ht="28" r="10">
      <c r="A10" s="3">
        <v>7</v>
      </c>
      <c r="B10" s="16" t="str">
        <v>合计（人民币）</v>
      </c>
      <c r="C10" s="16"/>
      <c r="D10" s="16"/>
      <c r="E10" s="16"/>
      <c r="F10" s="16"/>
      <c r="G10" s="16"/>
      <c r="H10" s="16"/>
      <c r="I10" s="3"/>
      <c r="J10" s="16">
        <f>SUM(J4:J9)</f>
      </c>
      <c r="K10" s="16"/>
      <c r="L10" s="16">
        <f>SUM(L4:L9)</f>
      </c>
      <c r="M10" s="22">
        <f>L10*0.3</f>
      </c>
      <c r="N10" s="22">
        <f>(G4+G5+G6+G7+G8)*N4</f>
      </c>
      <c r="O10" s="22">
        <f>SUM(L10:N10)</f>
      </c>
      <c r="P10" s="22"/>
      <c r="Q10" s="22"/>
      <c r="R10" s="22"/>
      <c r="S10" s="22">
        <f>SUM(S4:S9)</f>
      </c>
      <c r="T10" s="22">
        <f>S10-O10</f>
      </c>
      <c r="U10" s="23">
        <f>T10/O10</f>
      </c>
      <c r="V10" s="5"/>
    </row>
    <row customHeight="true" ht="28" r="11">
      <c r="A11" s="3">
        <v>8</v>
      </c>
      <c r="B11" s="16" t="str">
        <v>合计（新币）</v>
      </c>
      <c r="C11" s="16"/>
      <c r="D11" s="16"/>
      <c r="E11" s="16"/>
      <c r="F11" s="16"/>
      <c r="G11" s="16"/>
      <c r="H11" s="16"/>
      <c r="I11" s="3"/>
      <c r="J11" s="16"/>
      <c r="K11" s="16"/>
      <c r="L11" s="16"/>
      <c r="M11" s="22"/>
      <c r="N11" s="22"/>
      <c r="O11" s="22"/>
      <c r="P11" s="22"/>
      <c r="Q11" s="22"/>
      <c r="R11" s="22"/>
      <c r="S11" s="22">
        <f>S10/5.3612</f>
      </c>
      <c r="T11" s="22"/>
      <c r="U11" s="23"/>
      <c r="V11" s="5"/>
    </row>
    <row customHeight="true" ht="28" r="12">
      <c r="A12" s="20" t="str">
        <v>说明：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  <c r="O12" s="20"/>
      <c r="P12" s="20"/>
      <c r="Q12" s="20"/>
      <c r="R12" s="20"/>
      <c r="S12" s="12"/>
      <c r="T12" s="12"/>
      <c r="U12" s="12"/>
      <c r="V12" s="12"/>
    </row>
    <row customHeight="true" ht="28" r="13">
      <c r="A13" s="11" t="s">
        <v>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customHeight="true" ht="28" r="14">
      <c r="A14" s="11" t="s">
        <v>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customHeight="true" ht="28" r="15">
      <c r="A15" s="11" t="s">
        <v>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customHeight="true" ht="28" r="16">
      <c r="A16" s="11" t="s">
        <v>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customHeight="true" ht="28" r="17"/>
    <row customHeight="true" ht="28"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customHeight="true" ht="18"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customHeight="true" ht="18"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customHeight="true" ht="18"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customHeight="true" ht="18"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customHeight="true" ht="18"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customHeight="true" ht="18"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customHeight="true" ht="18"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customHeight="true" ht="18"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customHeight="true" ht="18"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customHeight="true" ht="18"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customHeight="true" ht="18"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customHeight="true" ht="18"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</sheetData>
  <mergeCells>
    <mergeCell ref="A1:A3"/>
    <mergeCell ref="L2:L3"/>
    <mergeCell ref="P2:P3"/>
    <mergeCell ref="H2:H3"/>
    <mergeCell ref="B1:L1"/>
    <mergeCell ref="I2:I3"/>
    <mergeCell ref="J2:J3"/>
    <mergeCell ref="K2:K3"/>
    <mergeCell ref="F2:F3"/>
    <mergeCell ref="G2:G3"/>
    <mergeCell ref="U1:U3"/>
    <mergeCell ref="V1:V3"/>
    <mergeCell ref="Q2:Q3"/>
    <mergeCell ref="M1:M3"/>
    <mergeCell ref="R1:R3"/>
    <mergeCell ref="S1:S3"/>
    <mergeCell ref="T1:T3"/>
    <mergeCell ref="N1:N3"/>
    <mergeCell ref="B11:H11"/>
    <mergeCell ref="O1:O3"/>
    <mergeCell ref="A13:V13"/>
    <mergeCell ref="A14:V14"/>
    <mergeCell ref="A15:V15"/>
    <mergeCell ref="A16:V16"/>
    <mergeCell ref="B10:H10"/>
    <mergeCell ref="B2:B3"/>
    <mergeCell ref="C2:C3"/>
    <mergeCell ref="D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